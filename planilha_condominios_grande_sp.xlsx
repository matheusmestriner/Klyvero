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istradoras" sheetId="1" state="visible" r:id="rId1"/>
    <sheet name="Condomínios" sheetId="2" state="visible" r:id="rId2"/>
    <sheet name="Guia de prospecção" sheetId="3" state="visible" r:id="rId3"/>
  </sheets>
  <definedNames>
    <definedName name="_xlnm._FilterDatabase" localSheetId="0" hidden="1">'Administradoras'!$A$1:$M$20</definedName>
    <definedName name="_xlnm._FilterDatabase" localSheetId="1" hidden="1">'Condomínios'!$A$1:$P$202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color rgb="000000FF"/>
      <sz val="10"/>
    </font>
    <font>
      <name val="Arial"/>
      <b val="1"/>
    </font>
    <font>
      <name val="Arial"/>
      <i val="1"/>
      <sz val="9"/>
    </font>
    <font>
      <name val="Arial"/>
      <i val="1"/>
      <color rgb="007F7F7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4" fillId="0" borderId="1" pivotButton="0" quotePrefix="0" xfId="0"/>
    <xf numFmtId="0" fontId="1" fillId="2" borderId="0" pivotButton="0" quotePrefix="0" xfId="0"/>
    <xf numFmtId="0" fontId="0" fillId="2" borderId="0" pivotButton="0" quotePrefix="0" xfId="0"/>
    <xf numFmtId="0" fontId="8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2condominios.com.br" TargetMode="External" Id="rId1" /><Relationship Type="http://schemas.openxmlformats.org/officeDocument/2006/relationships/hyperlink" Target="https://masterprimecondominos.com.br" TargetMode="External" Id="rId2" /><Relationship Type="http://schemas.openxmlformats.org/officeDocument/2006/relationships/hyperlink" Target="https://mestreadm.com.br" TargetMode="External" Id="rId3" /><Relationship Type="http://schemas.openxmlformats.org/officeDocument/2006/relationships/hyperlink" Target="https://dimensaoservicos.com.br" TargetMode="External" Id="rId4" /><Relationship Type="http://schemas.openxmlformats.org/officeDocument/2006/relationships/hyperlink" Target="https://uniassessoria.com.br" TargetMode="External" Id="rId5" /><Relationship Type="http://schemas.openxmlformats.org/officeDocument/2006/relationships/hyperlink" Target="https://ciacity.com" TargetMode="External" Id="rId6" /><Relationship Type="http://schemas.openxmlformats.org/officeDocument/2006/relationships/hyperlink" Target="https://cooperminas.negocio.site" TargetMode="External" Id="rId7" /><Relationship Type="http://schemas.openxmlformats.org/officeDocument/2006/relationships/hyperlink" Target="https://habilarcoop.com.br" TargetMode="External" Id="rId8" /><Relationship Type="http://schemas.openxmlformats.org/officeDocument/2006/relationships/hyperlink" Target="https://coophabitacionalvidanova.com.br" TargetMode="External" Id="rId9" /><Relationship Type="http://schemas.openxmlformats.org/officeDocument/2006/relationships/hyperlink" Target="https://embaeps.com.br" TargetMode="External" Id="rId10" /><Relationship Type="http://schemas.openxmlformats.org/officeDocument/2006/relationships/hyperlink" Target="https://loteamentojardimsaojoao.com.br" TargetMode="External" Id="rId11" /><Relationship Type="http://schemas.openxmlformats.org/officeDocument/2006/relationships/hyperlink" Target="https://ovistoriadordeimoveis.com.br" TargetMode="External" Id="rId12" /><Relationship Type="http://schemas.openxmlformats.org/officeDocument/2006/relationships/hyperlink" Target="https://sp-de-oliveira.business.site" TargetMode="External" Id="rId13" /><Relationship Type="http://schemas.openxmlformats.org/officeDocument/2006/relationships/hyperlink" Target="https://almeidaimoveissp.com" TargetMode="External" Id="rId14" /><Relationship Type="http://schemas.openxmlformats.org/officeDocument/2006/relationships/hyperlink" Target="https://bersanimoveis.com.br" TargetMode="External" Id="rId15" /><Relationship Type="http://schemas.openxmlformats.org/officeDocument/2006/relationships/hyperlink" Target="https://geousos.com" TargetMode="External" Id="rId16" /><Relationship Type="http://schemas.openxmlformats.org/officeDocument/2006/relationships/hyperlink" Target="https://holdingprotecaopatrimonial.com.br" TargetMode="External" Id="rId17" /><Relationship Type="http://schemas.openxmlformats.org/officeDocument/2006/relationships/hyperlink" Target="https://sites.google.com/view/rtbadmpatrimonio/in%c3%adcio" TargetMode="External" Id="rId18" /><Relationship Type="http://schemas.openxmlformats.org/officeDocument/2006/relationships/hyperlink" Target="https://seculoxxiconsultoria.com.br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28" customWidth="1" min="4" max="4"/>
    <col width="38" customWidth="1" min="5" max="5"/>
    <col width="12" customWidth="1" min="6" max="6"/>
    <col width="22" customWidth="1" min="7" max="7"/>
    <col width="20" customWidth="1" min="8" max="8"/>
    <col width="26" customWidth="1" min="9" max="9"/>
    <col width="16" customWidth="1" min="10" max="10"/>
    <col width="16" customWidth="1" min="11" max="11"/>
    <col width="22" customWidth="1" min="12" max="12"/>
    <col width="34" customWidth="1" min="13" max="13"/>
  </cols>
  <sheetData>
    <row r="1" ht="32" customHeight="1">
      <c r="A1" s="1" t="inlineStr">
        <is>
          <t>Nome</t>
        </is>
      </c>
      <c r="B1" s="1" t="inlineStr">
        <is>
          <t>Cidade</t>
        </is>
      </c>
      <c r="C1" s="1" t="inlineStr">
        <is>
          <t>Grande SP?</t>
        </is>
      </c>
      <c r="D1" s="1" t="inlineStr">
        <is>
          <t>Perfil (triagem)</t>
        </is>
      </c>
      <c r="E1" s="1" t="inlineStr">
        <is>
          <t>Site</t>
        </is>
      </c>
      <c r="F1" s="1" t="inlineStr">
        <is>
          <t>Prioridade</t>
        </is>
      </c>
      <c r="G1" s="1" t="inlineStr">
        <is>
          <t>Contato (nome)</t>
        </is>
      </c>
      <c r="H1" s="1" t="inlineStr">
        <is>
          <t>Telefone / WhatsApp</t>
        </is>
      </c>
      <c r="I1" s="1" t="inlineStr">
        <is>
          <t>E-mail</t>
        </is>
      </c>
      <c r="J1" s="1" t="inlineStr">
        <is>
          <t>Nº de condomínios geridos</t>
        </is>
      </c>
      <c r="K1" s="1" t="inlineStr">
        <is>
          <t>Status</t>
        </is>
      </c>
      <c r="L1" s="1" t="inlineStr">
        <is>
          <t>Próximo passo</t>
        </is>
      </c>
      <c r="M1" s="1" t="inlineStr">
        <is>
          <t>Observações</t>
        </is>
      </c>
    </row>
    <row r="2">
      <c r="A2" s="2" t="inlineStr">
        <is>
          <t>M2 Condomínios</t>
        </is>
      </c>
      <c r="B2" s="2" t="inlineStr">
        <is>
          <t>Jardim Estadio</t>
        </is>
      </c>
      <c r="C2" s="2" t="inlineStr">
        <is>
          <t>Sim</t>
        </is>
      </c>
      <c r="D2" s="2" t="inlineStr">
        <is>
          <t>Administradora de condomínios</t>
        </is>
      </c>
      <c r="E2" s="3" t="inlineStr">
        <is>
          <t>https://m2condominios.com.br</t>
        </is>
      </c>
      <c r="F2" s="2" t="inlineStr">
        <is>
          <t>Alta</t>
        </is>
      </c>
      <c r="G2" s="4" t="n"/>
      <c r="H2" s="4" t="n"/>
      <c r="I2" s="4" t="n"/>
      <c r="J2" s="4" t="n"/>
      <c r="K2" s="2" t="inlineStr">
        <is>
          <t>Não contatado</t>
        </is>
      </c>
      <c r="L2" s="4" t="n"/>
      <c r="M2" s="4" t="n"/>
    </row>
    <row r="3">
      <c r="A3" s="2" t="inlineStr">
        <is>
          <t>Master Prime</t>
        </is>
      </c>
      <c r="B3" s="2" t="inlineStr">
        <is>
          <t>São Paulo</t>
        </is>
      </c>
      <c r="C3" s="2" t="inlineStr">
        <is>
          <t>Sim</t>
        </is>
      </c>
      <c r="D3" s="2" t="inlineStr">
        <is>
          <t>Administradora de condomínios</t>
        </is>
      </c>
      <c r="E3" s="3" t="inlineStr">
        <is>
          <t>https://masterprimecondominos.com.br</t>
        </is>
      </c>
      <c r="F3" s="2" t="inlineStr">
        <is>
          <t>Alta</t>
        </is>
      </c>
      <c r="G3" s="4" t="n"/>
      <c r="H3" s="4" t="n"/>
      <c r="I3" s="4" t="n"/>
      <c r="J3" s="4" t="n"/>
      <c r="K3" s="2" t="inlineStr">
        <is>
          <t>Não contatado</t>
        </is>
      </c>
      <c r="L3" s="4" t="n"/>
      <c r="M3" s="4" t="n"/>
    </row>
    <row r="4">
      <c r="A4" s="2" t="inlineStr">
        <is>
          <t>Mestre Administração Condominial</t>
        </is>
      </c>
      <c r="B4" s="2" t="inlineStr">
        <is>
          <t>Jardim Santo André</t>
        </is>
      </c>
      <c r="C4" s="2" t="inlineStr">
        <is>
          <t>Sim</t>
        </is>
      </c>
      <c r="D4" s="2" t="inlineStr">
        <is>
          <t>Administradora de condomínios</t>
        </is>
      </c>
      <c r="E4" s="3" t="inlineStr">
        <is>
          <t>https://mestreadm.com.br</t>
        </is>
      </c>
      <c r="F4" s="2" t="inlineStr">
        <is>
          <t>Alta</t>
        </is>
      </c>
      <c r="G4" s="4" t="n"/>
      <c r="H4" s="4" t="n"/>
      <c r="I4" s="4" t="n"/>
      <c r="J4" s="4" t="n"/>
      <c r="K4" s="2" t="inlineStr">
        <is>
          <t>Não contatado</t>
        </is>
      </c>
      <c r="L4" s="4" t="n"/>
      <c r="M4" s="4" t="n"/>
    </row>
    <row r="5">
      <c r="A5" s="2" t="inlineStr">
        <is>
          <t>Dimensão</t>
        </is>
      </c>
      <c r="B5" s="2" t="inlineStr">
        <is>
          <t>Mogi Das Cruzes</t>
        </is>
      </c>
      <c r="C5" s="2" t="inlineStr">
        <is>
          <t>Sim</t>
        </is>
      </c>
      <c r="D5" s="2" t="inlineStr">
        <is>
          <t>Gestão / serviços (verificar)</t>
        </is>
      </c>
      <c r="E5" s="3" t="inlineStr">
        <is>
          <t>https://dimensaoservicos.com.br</t>
        </is>
      </c>
      <c r="F5" s="2" t="inlineStr">
        <is>
          <t>Média</t>
        </is>
      </c>
      <c r="G5" s="4" t="n"/>
      <c r="H5" s="4" t="n"/>
      <c r="I5" s="4" t="n"/>
      <c r="J5" s="4" t="n"/>
      <c r="K5" s="2" t="inlineStr">
        <is>
          <t>Não contatado</t>
        </is>
      </c>
      <c r="L5" s="4" t="n"/>
      <c r="M5" s="4" t="n"/>
    </row>
    <row r="6">
      <c r="A6" s="2" t="inlineStr">
        <is>
          <t>União Assessoria</t>
        </is>
      </c>
      <c r="B6" s="2" t="inlineStr">
        <is>
          <t>São Paulo</t>
        </is>
      </c>
      <c r="C6" s="2" t="inlineStr">
        <is>
          <t>Sim</t>
        </is>
      </c>
      <c r="D6" s="2" t="inlineStr">
        <is>
          <t>Gestão / serviços (verificar)</t>
        </is>
      </c>
      <c r="E6" s="3" t="inlineStr">
        <is>
          <t>https://uniassessoria.com.br</t>
        </is>
      </c>
      <c r="F6" s="2" t="inlineStr">
        <is>
          <t>Média</t>
        </is>
      </c>
      <c r="G6" s="4" t="n"/>
      <c r="H6" s="4" t="n"/>
      <c r="I6" s="4" t="n"/>
      <c r="J6" s="4" t="n"/>
      <c r="K6" s="2" t="inlineStr">
        <is>
          <t>Não contatado</t>
        </is>
      </c>
      <c r="L6" s="4" t="n"/>
      <c r="M6" s="4" t="n"/>
    </row>
    <row r="7">
      <c r="A7" s="2" t="inlineStr">
        <is>
          <t>CIA.CITY</t>
        </is>
      </c>
      <c r="B7" s="2" t="inlineStr">
        <is>
          <t>São Paulo</t>
        </is>
      </c>
      <c r="C7" s="2" t="inlineStr">
        <is>
          <t>Sim</t>
        </is>
      </c>
      <c r="D7" s="2" t="inlineStr">
        <is>
          <t>Imobiliária</t>
        </is>
      </c>
      <c r="E7" s="3" t="inlineStr">
        <is>
          <t>https://ciacity.com</t>
        </is>
      </c>
      <c r="F7" s="2" t="inlineStr">
        <is>
          <t>Baixa</t>
        </is>
      </c>
      <c r="G7" s="4" t="n"/>
      <c r="H7" s="4" t="n"/>
      <c r="I7" s="4" t="n"/>
      <c r="J7" s="4" t="n"/>
      <c r="K7" s="2" t="inlineStr">
        <is>
          <t>Não contatado</t>
        </is>
      </c>
      <c r="L7" s="4" t="n"/>
      <c r="M7" s="4" t="n"/>
    </row>
    <row r="8">
      <c r="A8" s="2" t="inlineStr">
        <is>
          <t>COOPERMINAS - Cooperativa Minas do Rio Verde</t>
        </is>
      </c>
      <c r="B8" s="2" t="inlineStr">
        <is>
          <t>São Paulo</t>
        </is>
      </c>
      <c r="C8" s="2" t="inlineStr">
        <is>
          <t>Sim</t>
        </is>
      </c>
      <c r="D8" s="2" t="inlineStr">
        <is>
          <t>Cooperativa / loteamento</t>
        </is>
      </c>
      <c r="E8" s="3" t="inlineStr">
        <is>
          <t>https://cooperminas.negocio.site</t>
        </is>
      </c>
      <c r="F8" s="2" t="inlineStr">
        <is>
          <t>Baixa</t>
        </is>
      </c>
      <c r="G8" s="4" t="n"/>
      <c r="H8" s="4" t="n"/>
      <c r="I8" s="4" t="n"/>
      <c r="J8" s="4" t="n"/>
      <c r="K8" s="2" t="inlineStr">
        <is>
          <t>Não contatado</t>
        </is>
      </c>
      <c r="L8" s="4" t="n"/>
      <c r="M8" s="4" t="n"/>
    </row>
    <row r="9">
      <c r="A9" s="2" t="inlineStr">
        <is>
          <t>Cooperativa Habitacional Habilarcoop</t>
        </is>
      </c>
      <c r="B9" s="2" t="inlineStr">
        <is>
          <t>São Paulo</t>
        </is>
      </c>
      <c r="C9" s="2" t="inlineStr">
        <is>
          <t>Sim</t>
        </is>
      </c>
      <c r="D9" s="2" t="inlineStr">
        <is>
          <t>Cooperativa / loteamento</t>
        </is>
      </c>
      <c r="E9" s="3" t="inlineStr">
        <is>
          <t>https://habilarcoop.com.br</t>
        </is>
      </c>
      <c r="F9" s="2" t="inlineStr">
        <is>
          <t>Baixa</t>
        </is>
      </c>
      <c r="G9" s="4" t="n"/>
      <c r="H9" s="4" t="n"/>
      <c r="I9" s="4" t="n"/>
      <c r="J9" s="4" t="n"/>
      <c r="K9" s="2" t="inlineStr">
        <is>
          <t>Não contatado</t>
        </is>
      </c>
      <c r="L9" s="4" t="n"/>
      <c r="M9" s="4" t="n"/>
    </row>
    <row r="10">
      <c r="A10" s="2" t="inlineStr">
        <is>
          <t>Cooperativa Vida Nova Habitacional</t>
        </is>
      </c>
      <c r="B10" s="2" t="inlineStr">
        <is>
          <t>Taboão Da Serra</t>
        </is>
      </c>
      <c r="C10" s="2" t="inlineStr">
        <is>
          <t>Sim</t>
        </is>
      </c>
      <c r="D10" s="2" t="inlineStr">
        <is>
          <t>Cooperativa / loteamento</t>
        </is>
      </c>
      <c r="E10" s="3" t="inlineStr">
        <is>
          <t>https://coophabitacionalvidanova.com.br</t>
        </is>
      </c>
      <c r="F10" s="2" t="inlineStr">
        <is>
          <t>Baixa</t>
        </is>
      </c>
      <c r="G10" s="4" t="n"/>
      <c r="H10" s="4" t="n"/>
      <c r="I10" s="4" t="n"/>
      <c r="J10" s="4" t="n"/>
      <c r="K10" s="2" t="inlineStr">
        <is>
          <t>Não contatado</t>
        </is>
      </c>
      <c r="L10" s="4" t="n"/>
      <c r="M10" s="4" t="n"/>
    </row>
    <row r="11">
      <c r="A11" s="2" t="inlineStr">
        <is>
          <t>Emba EPS</t>
        </is>
      </c>
      <c r="B11" s="2" t="inlineStr">
        <is>
          <t>Diadema</t>
        </is>
      </c>
      <c r="C11" s="2" t="inlineStr">
        <is>
          <t>Sim</t>
        </is>
      </c>
      <c r="D11" s="2" t="inlineStr">
        <is>
          <t>Fora do perfil (verificar)</t>
        </is>
      </c>
      <c r="E11" s="3" t="inlineStr">
        <is>
          <t>https://embaeps.com.br</t>
        </is>
      </c>
      <c r="F11" s="2" t="inlineStr">
        <is>
          <t>Baixa</t>
        </is>
      </c>
      <c r="G11" s="4" t="n"/>
      <c r="H11" s="4" t="n"/>
      <c r="I11" s="4" t="n"/>
      <c r="J11" s="4" t="n"/>
      <c r="K11" s="2" t="inlineStr">
        <is>
          <t>Não contatado</t>
        </is>
      </c>
      <c r="L11" s="4" t="n"/>
      <c r="M11" s="4" t="n"/>
    </row>
    <row r="12">
      <c r="A12" s="2" t="inlineStr">
        <is>
          <t>LOTEAMENTO JARDIM SÃO JOÃO SUZANO</t>
        </is>
      </c>
      <c r="B12" s="2" t="inlineStr">
        <is>
          <t>Suzano</t>
        </is>
      </c>
      <c r="C12" s="2" t="inlineStr">
        <is>
          <t>Sim</t>
        </is>
      </c>
      <c r="D12" s="2" t="inlineStr">
        <is>
          <t>Cooperativa / loteamento</t>
        </is>
      </c>
      <c r="E12" s="3" t="inlineStr">
        <is>
          <t>https://loteamentojardimsaojoao.com.br</t>
        </is>
      </c>
      <c r="F12" s="2" t="inlineStr">
        <is>
          <t>Baixa</t>
        </is>
      </c>
      <c r="G12" s="4" t="n"/>
      <c r="H12" s="4" t="n"/>
      <c r="I12" s="4" t="n"/>
      <c r="J12" s="4" t="n"/>
      <c r="K12" s="2" t="inlineStr">
        <is>
          <t>Não contatado</t>
        </is>
      </c>
      <c r="L12" s="4" t="n"/>
      <c r="M12" s="4" t="n"/>
    </row>
    <row r="13">
      <c r="A13" s="2" t="inlineStr">
        <is>
          <t>O VISTORIADOR DE IMÓVEIS</t>
        </is>
      </c>
      <c r="B13" s="2" t="inlineStr">
        <is>
          <t>São Paulo</t>
        </is>
      </c>
      <c r="C13" s="2" t="inlineStr">
        <is>
          <t>Sim</t>
        </is>
      </c>
      <c r="D13" s="2" t="inlineStr">
        <is>
          <t>Imobiliária</t>
        </is>
      </c>
      <c r="E13" s="3" t="inlineStr">
        <is>
          <t>https://ovistoriadordeimoveis.com.br</t>
        </is>
      </c>
      <c r="F13" s="2" t="inlineStr">
        <is>
          <t>Baixa</t>
        </is>
      </c>
      <c r="G13" s="4" t="n"/>
      <c r="H13" s="4" t="n"/>
      <c r="I13" s="4" t="n"/>
      <c r="J13" s="4" t="n"/>
      <c r="K13" s="2" t="inlineStr">
        <is>
          <t>Não contatado</t>
        </is>
      </c>
      <c r="L13" s="4" t="n"/>
      <c r="M13" s="4" t="n"/>
    </row>
    <row r="14">
      <c r="A14" s="2" t="inlineStr">
        <is>
          <t>SP DE OLIVEIRA</t>
        </is>
      </c>
      <c r="B14" s="2" t="inlineStr">
        <is>
          <t>Francisco Morato</t>
        </is>
      </c>
      <c r="C14" s="2" t="inlineStr">
        <is>
          <t>Sim</t>
        </is>
      </c>
      <c r="D14" s="2" t="inlineStr">
        <is>
          <t>Fora do perfil (verificar)</t>
        </is>
      </c>
      <c r="E14" s="3" t="inlineStr">
        <is>
          <t>https://sp-de-oliveira.business.site</t>
        </is>
      </c>
      <c r="F14" s="2" t="inlineStr">
        <is>
          <t>Baixa</t>
        </is>
      </c>
      <c r="G14" s="4" t="n"/>
      <c r="H14" s="4" t="n"/>
      <c r="I14" s="4" t="n"/>
      <c r="J14" s="4" t="n"/>
      <c r="K14" s="2" t="inlineStr">
        <is>
          <t>Não contatado</t>
        </is>
      </c>
      <c r="L14" s="4" t="n"/>
      <c r="M14" s="4" t="n"/>
    </row>
    <row r="15">
      <c r="A15" s="2" t="inlineStr">
        <is>
          <t>ALMEIDA IMÓVEIS</t>
        </is>
      </c>
      <c r="B15" s="2" t="inlineStr">
        <is>
          <t>Itanhaém</t>
        </is>
      </c>
      <c r="C15" s="2" t="inlineStr">
        <is>
          <t>Não</t>
        </is>
      </c>
      <c r="D15" s="2" t="inlineStr">
        <is>
          <t>Imobiliária</t>
        </is>
      </c>
      <c r="E15" s="3" t="inlineStr">
        <is>
          <t>https://almeidaimoveissp.com</t>
        </is>
      </c>
      <c r="F15" s="2" t="inlineStr">
        <is>
          <t>Baixa</t>
        </is>
      </c>
      <c r="G15" s="4" t="n"/>
      <c r="H15" s="4" t="n"/>
      <c r="I15" s="4" t="n"/>
      <c r="J15" s="4" t="n"/>
      <c r="K15" s="2" t="inlineStr">
        <is>
          <t>Não contatado</t>
        </is>
      </c>
      <c r="L15" s="4" t="n"/>
      <c r="M15" s="4" t="n"/>
    </row>
    <row r="16">
      <c r="A16" s="2" t="inlineStr">
        <is>
          <t>Bersan Imóveis</t>
        </is>
      </c>
      <c r="B16" s="2" t="inlineStr">
        <is>
          <t>Valinhos</t>
        </is>
      </c>
      <c r="C16" s="2" t="inlineStr">
        <is>
          <t>Não</t>
        </is>
      </c>
      <c r="D16" s="2" t="inlineStr">
        <is>
          <t>Imobiliária</t>
        </is>
      </c>
      <c r="E16" s="3" t="inlineStr">
        <is>
          <t>https://bersanimoveis.com.br</t>
        </is>
      </c>
      <c r="F16" s="2" t="inlineStr">
        <is>
          <t>Baixa</t>
        </is>
      </c>
      <c r="G16" s="4" t="n"/>
      <c r="H16" s="4" t="n"/>
      <c r="I16" s="4" t="n"/>
      <c r="J16" s="4" t="n"/>
      <c r="K16" s="2" t="inlineStr">
        <is>
          <t>Não contatado</t>
        </is>
      </c>
      <c r="L16" s="4" t="n"/>
      <c r="M16" s="4" t="n"/>
    </row>
    <row r="17">
      <c r="A17" s="2" t="inlineStr">
        <is>
          <t>GEODADDY - ENGENHARIA NOS USOS DA TERRA</t>
        </is>
      </c>
      <c r="B17" s="2" t="inlineStr">
        <is>
          <t>Bauru</t>
        </is>
      </c>
      <c r="C17" s="2" t="inlineStr">
        <is>
          <t>Não</t>
        </is>
      </c>
      <c r="D17" s="2" t="inlineStr">
        <is>
          <t>Fora do perfil (verificar)</t>
        </is>
      </c>
      <c r="E17" s="3" t="inlineStr">
        <is>
          <t>https://geousos.com</t>
        </is>
      </c>
      <c r="F17" s="2" t="inlineStr">
        <is>
          <t>Baixa</t>
        </is>
      </c>
      <c r="G17" s="4" t="n"/>
      <c r="H17" s="4" t="n"/>
      <c r="I17" s="4" t="n"/>
      <c r="J17" s="4" t="n"/>
      <c r="K17" s="2" t="inlineStr">
        <is>
          <t>Não contatado</t>
        </is>
      </c>
      <c r="L17" s="4" t="n"/>
      <c r="M17" s="4" t="n"/>
    </row>
    <row r="18">
      <c r="A18" s="2" t="inlineStr">
        <is>
          <t>Hold Gestão Patrimonial</t>
        </is>
      </c>
      <c r="B18" s="2" t="inlineStr">
        <is>
          <t>Tupã</t>
        </is>
      </c>
      <c r="C18" s="2" t="inlineStr">
        <is>
          <t>Não</t>
        </is>
      </c>
      <c r="D18" s="2" t="inlineStr">
        <is>
          <t>Gestão / serviços (verificar)</t>
        </is>
      </c>
      <c r="E18" s="3" t="inlineStr">
        <is>
          <t>https://holdingprotecaopatrimonial.com.br</t>
        </is>
      </c>
      <c r="F18" s="2" t="inlineStr">
        <is>
          <t>Baixa</t>
        </is>
      </c>
      <c r="G18" s="4" t="n"/>
      <c r="H18" s="4" t="n"/>
      <c r="I18" s="4" t="n"/>
      <c r="J18" s="4" t="n"/>
      <c r="K18" s="2" t="inlineStr">
        <is>
          <t>Não contatado</t>
        </is>
      </c>
      <c r="L18" s="4" t="n"/>
      <c r="M18" s="4" t="n"/>
    </row>
    <row r="19">
      <c r="A19" s="2" t="inlineStr">
        <is>
          <t>RTB Administração de Patrimônio - Gestão de Manutenção e Zeladoria</t>
        </is>
      </c>
      <c r="B19" s="2" t="inlineStr">
        <is>
          <t>Iguape</t>
        </is>
      </c>
      <c r="C19" s="2" t="inlineStr">
        <is>
          <t>Não</t>
        </is>
      </c>
      <c r="D19" s="2" t="inlineStr">
        <is>
          <t>Gestão / serviços (verificar)</t>
        </is>
      </c>
      <c r="E19" s="3" t="inlineStr">
        <is>
          <t>https://sites.google.com/view/rtbadmpatrimonio/in%c3%adcio</t>
        </is>
      </c>
      <c r="F19" s="2" t="inlineStr">
        <is>
          <t>Baixa</t>
        </is>
      </c>
      <c r="G19" s="4" t="n"/>
      <c r="H19" s="4" t="n"/>
      <c r="I19" s="4" t="n"/>
      <c r="J19" s="4" t="n"/>
      <c r="K19" s="2" t="inlineStr">
        <is>
          <t>Não contatado</t>
        </is>
      </c>
      <c r="L19" s="4" t="n"/>
      <c r="M19" s="4" t="n"/>
    </row>
    <row r="20">
      <c r="A20" s="2" t="inlineStr">
        <is>
          <t>SECULO XXI ADMINISTRADORA DE CONDOMÍNIOS</t>
        </is>
      </c>
      <c r="B20" s="2" t="inlineStr">
        <is>
          <t>Atibaia</t>
        </is>
      </c>
      <c r="C20" s="2" t="inlineStr">
        <is>
          <t>Não</t>
        </is>
      </c>
      <c r="D20" s="2" t="inlineStr">
        <is>
          <t>Administradora de condomínios</t>
        </is>
      </c>
      <c r="E20" s="3" t="inlineStr">
        <is>
          <t>https://seculoxxiconsultoria.com.br</t>
        </is>
      </c>
      <c r="F20" s="2" t="inlineStr">
        <is>
          <t>Baixa</t>
        </is>
      </c>
      <c r="G20" s="4" t="n"/>
      <c r="H20" s="4" t="n"/>
      <c r="I20" s="4" t="n"/>
      <c r="J20" s="4" t="n"/>
      <c r="K20" s="2" t="inlineStr">
        <is>
          <t>Não contatado</t>
        </is>
      </c>
      <c r="L20" s="4" t="n"/>
      <c r="M20" s="4" t="n"/>
    </row>
    <row r="22">
      <c r="A22" s="5" t="inlineStr">
        <is>
          <t>Resumo</t>
        </is>
      </c>
    </row>
    <row r="23">
      <c r="A23" s="6" t="inlineStr">
        <is>
          <t>Total de empresas</t>
        </is>
      </c>
      <c r="B23" s="6">
        <f>COUNTA(A2:A20)</f>
        <v/>
      </c>
    </row>
    <row r="24">
      <c r="A24" s="6" t="inlineStr">
        <is>
          <t>Na Grande SP</t>
        </is>
      </c>
      <c r="B24" s="6">
        <f>COUNTIF(C2:C20,"Sim")</f>
        <v/>
      </c>
    </row>
    <row r="25">
      <c r="A25" s="6" t="inlineStr">
        <is>
          <t>Prioridade Alta</t>
        </is>
      </c>
      <c r="B25" s="6">
        <f>COUNTIF(F2:F20,"Alta")</f>
        <v/>
      </c>
    </row>
    <row r="26">
      <c r="A26" s="6" t="inlineStr">
        <is>
          <t>Fechadas</t>
        </is>
      </c>
      <c r="B26" s="6">
        <f>COUNTIF(K2:K20,"Fechado")</f>
        <v/>
      </c>
    </row>
    <row r="28">
      <c r="A28" s="7" t="inlineStr">
        <is>
          <t>Fonte: base Vibe Prospecting (NAICS 531311, estado de SP, com site), exportada em 02/10/2026. "Grande SP?" e "Perfil" são triagem minha pelo nome/cidade — confira antes de ligar. Telefone/e-mail não vieram na base: preencha (azul = campos para você editar).</t>
        </is>
      </c>
    </row>
  </sheetData>
  <autoFilter ref="A1:M20"/>
  <dataValidations count="2">
    <dataValidation sqref="K2 K3 K4 K5 K6 K7 K8 K9 K10 K11 K12 K13 K14 K15 K16 K17 K18 K19 K20" showDropDown="0" showInputMessage="0" showErrorMessage="0" allowBlank="1" type="list">
      <formula1>"Não contatado,Contato feito,Reunião agendada,Proposta enviada,Fechado,Perdido"</formula1>
    </dataValidation>
    <dataValidation sqref="F2 F3 F4 F5 F6 F7 F8 F9 F10 F11 F12 F13 F14 F15 F16 F17 F18 F19 F20" showDropDown="0" showInputMessage="0" showErrorMessage="0" allowBlank="1" type="list">
      <formula1>"Alta,Média,Baixa"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18" customWidth="1" min="4" max="4"/>
    <col width="12" customWidth="1" min="5" max="5"/>
    <col width="16" customWidth="1" min="6" max="6"/>
    <col width="26" customWidth="1" min="7" max="7"/>
    <col width="22" customWidth="1" min="8" max="8"/>
    <col width="20" customWidth="1" min="9" max="9"/>
    <col width="26" customWidth="1" min="10" max="10"/>
    <col width="22" customWidth="1" min="11" max="11"/>
    <col width="12" customWidth="1" min="12" max="12"/>
    <col width="16" customWidth="1" min="13" max="13"/>
    <col width="14" customWidth="1" min="14" max="14"/>
    <col width="22" customWidth="1" min="15" max="15"/>
    <col width="34" customWidth="1" min="16" max="16"/>
  </cols>
  <sheetData>
    <row r="1" ht="32" customHeight="1">
      <c r="A1" s="1" t="inlineStr">
        <is>
          <t>Condomínio</t>
        </is>
      </c>
      <c r="B1" s="1" t="inlineStr">
        <is>
          <t>Endereço</t>
        </is>
      </c>
      <c r="C1" s="1" t="inlineStr">
        <is>
          <t>Bairro</t>
        </is>
      </c>
      <c r="D1" s="1" t="inlineStr">
        <is>
          <t>Cidade</t>
        </is>
      </c>
      <c r="E1" s="1" t="inlineStr">
        <is>
          <t>Nº de unidades</t>
        </is>
      </c>
      <c r="F1" s="1" t="inlineStr">
        <is>
          <t>Tipo (vertical/horizontal)</t>
        </is>
      </c>
      <c r="G1" s="1" t="inlineStr">
        <is>
          <t>Administradora</t>
        </is>
      </c>
      <c r="H1" s="1" t="inlineStr">
        <is>
          <t>Síndico (nome)</t>
        </is>
      </c>
      <c r="I1" s="1" t="inlineStr">
        <is>
          <t>Telefone / WhatsApp</t>
        </is>
      </c>
      <c r="J1" s="1" t="inlineStr">
        <is>
          <t>E-mail</t>
        </is>
      </c>
      <c r="K1" s="1" t="inlineStr">
        <is>
          <t>Já tem CFTV / portaria?</t>
        </is>
      </c>
      <c r="L1" s="1" t="inlineStr">
        <is>
          <t>Prioridade</t>
        </is>
      </c>
      <c r="M1" s="1" t="inlineStr">
        <is>
          <t>Status</t>
        </is>
      </c>
      <c r="N1" s="1" t="inlineStr">
        <is>
          <t>Data último contato</t>
        </is>
      </c>
      <c r="O1" s="1" t="inlineStr">
        <is>
          <t>Próximo passo</t>
        </is>
      </c>
      <c r="P1" s="1" t="inlineStr">
        <is>
          <t>Observações</t>
        </is>
      </c>
    </row>
    <row r="2">
      <c r="A2" s="8" t="inlineStr">
        <is>
          <t>EXEMPLO – Residencial Jardim das Flores</t>
        </is>
      </c>
      <c r="B2" s="8" t="inlineStr">
        <is>
          <t>Rua das Acácias, 123</t>
        </is>
      </c>
      <c r="C2" s="8" t="inlineStr">
        <is>
          <t>Vila Mariana</t>
        </is>
      </c>
      <c r="D2" s="8" t="inlineStr">
        <is>
          <t>São Paulo</t>
        </is>
      </c>
      <c r="E2" s="8" t="n">
        <v>180</v>
      </c>
      <c r="F2" s="8" t="inlineStr">
        <is>
          <t>Vertical</t>
        </is>
      </c>
      <c r="G2" s="8" t="inlineStr">
        <is>
          <t>Mestre Administração Condominial</t>
        </is>
      </c>
      <c r="H2" s="8" t="inlineStr">
        <is>
          <t>Fulano de Tal</t>
        </is>
      </c>
      <c r="I2" s="8" t="inlineStr">
        <is>
          <t>(11) 90000-0000</t>
        </is>
      </c>
      <c r="J2" s="8" t="inlineStr">
        <is>
          <t>sindico@exemplo.com.br</t>
        </is>
      </c>
      <c r="K2" s="8" t="inlineStr">
        <is>
          <t>CFTV antigo, portaria 24h</t>
        </is>
      </c>
      <c r="L2" s="8" t="inlineStr">
        <is>
          <t>Alta</t>
        </is>
      </c>
      <c r="M2" s="8" t="inlineStr">
        <is>
          <t>Não contatado</t>
        </is>
      </c>
      <c r="N2" s="8" t="n"/>
      <c r="O2" s="8" t="inlineStr">
        <is>
          <t>Ligar e pedir reunião com o conselho</t>
        </is>
      </c>
      <c r="P2" s="8" t="inlineStr">
        <is>
          <t>Linha de exemplo — apague ao começar</t>
        </is>
      </c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</row>
  </sheetData>
  <autoFilter ref="A1:P202"/>
  <dataValidations count="2">
    <dataValidation sqref="L2:L202" showDropDown="0" showInputMessage="0" showErrorMessage="0" allowBlank="1" type="list">
      <formula1>"Alta,Média,Baixa"</formula1>
    </dataValidation>
    <dataValidation sqref="M2:M202" showDropDown="0" showInputMessage="0" showErrorMessage="0" allowBlank="1" type="list">
      <formula1>"Não contatado,Contato feito,Reunião agendada,Proposta enviada,Fechado,Perdido"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0" t="inlineStr">
        <is>
          <t>Como levantar condomínios</t>
        </is>
      </c>
      <c r="B1" s="11" t="n"/>
    </row>
    <row r="2">
      <c r="A2" s="12" t="inlineStr">
        <is>
          <t>Google Maps</t>
        </is>
      </c>
      <c r="B2" s="13" t="inlineStr">
        <is>
          <t>Busque "condomínio residencial [bairro]", "condomínio fechado [cidade]". Anote nome, endereço e telefone da portaria/administração.</t>
        </is>
      </c>
    </row>
    <row r="3">
      <c r="A3" s="12" t="inlineStr">
        <is>
          <t>Sites de imobiliárias/portais</t>
        </is>
      </c>
      <c r="B3" s="13" t="inlineStr">
        <is>
          <t>QuintoAndar, Viva Real e ZAP listam o nome do condomínio e nº de unidades/torres — bom para achar prédios grandes.</t>
        </is>
      </c>
    </row>
    <row r="4">
      <c r="A4" s="12" t="inlineStr">
        <is>
          <t>Administradoras (aba 1)</t>
        </is>
      </c>
      <c r="B4" s="13" t="inlineStr">
        <is>
          <t>Peça a lista de condomínios que cada uma administra. Uma parceria rende dezenas de leads.</t>
        </is>
      </c>
    </row>
    <row r="5">
      <c r="A5" s="12" t="inlineStr">
        <is>
          <t>Sindicatos e associações</t>
        </is>
      </c>
      <c r="B5" s="13" t="inlineStr">
        <is>
          <t>SECOVI-SP e associações de síndicos/moradores de bairro têm contato direto com síndicos.</t>
        </is>
      </c>
    </row>
    <row r="6">
      <c r="A6" s="12" t="inlineStr">
        <is>
          <t>Indicação e porta a porta</t>
        </is>
      </c>
      <c r="B6" s="13" t="inlineStr">
        <is>
          <t>Zeladores, porteiros e síndicos de condomínios vizinhos de clientes atuais.</t>
        </is>
      </c>
    </row>
    <row r="7">
      <c r="A7" s="12" t="inlineStr">
        <is>
          <t>Grupos de síndicos</t>
        </is>
      </c>
      <c r="B7" s="13" t="inlineStr">
        <is>
          <t>Grupos de WhatsApp/Facebook de síndicos de SP: participe oferecendo conteúdo antes de vender.</t>
        </is>
      </c>
    </row>
    <row r="9">
      <c r="A9" s="10" t="inlineStr">
        <is>
          <t>Perfil de maior potencial</t>
        </is>
      </c>
      <c r="B9" s="11" t="n"/>
    </row>
    <row r="10">
      <c r="A10" s="12" t="inlineStr">
        <is>
          <t>Porte</t>
        </is>
      </c>
      <c r="B10" s="13" t="inlineStr">
        <is>
          <t>150+ unidades ou várias torres (mais câmeras, maior ticket, mais dor com segurança).</t>
        </is>
      </c>
    </row>
    <row r="11">
      <c r="A11" s="12" t="inlineStr">
        <is>
          <t>Tipo</t>
        </is>
      </c>
      <c r="B11" s="13" t="inlineStr">
        <is>
          <t>Condomínios horizontais/loteamentos fechados (perímetro grande) e verticais com portaria remota em estudo.</t>
        </is>
      </c>
    </row>
    <row r="12">
      <c r="A12" s="12" t="inlineStr">
        <is>
          <t>Sinais de dor</t>
        </is>
      </c>
      <c r="B12" s="13" t="inlineStr">
        <is>
          <t>Reclamações de furto, CFTV antigo/quebrado, troca recente de síndico, assembleia para votar segurança, fim de contrato com empresa de portaria.</t>
        </is>
      </c>
    </row>
    <row r="13">
      <c r="A13" s="12" t="inlineStr">
        <is>
          <t>Quem decide</t>
        </is>
      </c>
      <c r="B13" s="13" t="inlineStr">
        <is>
          <t>Síndico + conselho; administradora influencia. Decisão em assembleia — prepare material para apresentar ao conselho.</t>
        </is>
      </c>
    </row>
    <row r="15">
      <c r="A15" s="10" t="inlineStr">
        <is>
          <t>Municípios da Grande SP para varrer</t>
        </is>
      </c>
      <c r="B15" s="11" t="n"/>
    </row>
    <row r="16">
      <c r="A16" s="12" t="inlineStr">
        <is>
          <t>Capital – zonas</t>
        </is>
      </c>
      <c r="B16" s="13" t="inlineStr">
        <is>
          <t>Sul (Santo Amaro, Campo Limpo), Oeste (Butantã, Pinheiros), Leste (Tatuapé, Mooca, Penha), Norte (Santana, Tucuruvi), Centro-expandido.</t>
        </is>
      </c>
    </row>
    <row r="17">
      <c r="A17" s="12" t="inlineStr">
        <is>
          <t>Oeste/Sudoeste</t>
        </is>
      </c>
      <c r="B17" s="13" t="inlineStr">
        <is>
          <t>Osasco, Barueri/Alphaville, Santana de Parnaíba, Cotia, Carapicuíba, Taboão da Serra, Embu das Artes.</t>
        </is>
      </c>
    </row>
    <row r="18">
      <c r="A18" s="12" t="inlineStr">
        <is>
          <t>ABC</t>
        </is>
      </c>
      <c r="B18" s="13" t="inlineStr">
        <is>
          <t>Santo André, São Bernardo do Campo, São Caetano do Sul, Diadema, Mauá.</t>
        </is>
      </c>
    </row>
    <row r="19">
      <c r="A19" s="12" t="inlineStr">
        <is>
          <t>Leste/Norte</t>
        </is>
      </c>
      <c r="B19" s="13" t="inlineStr">
        <is>
          <t>Guarulhos, Mogi das Cruzes, Suzano, Arujá, Caieiras, Franco da Rocha.</t>
        </is>
      </c>
    </row>
    <row r="21">
      <c r="A21" s="10" t="inlineStr">
        <is>
          <t>Pitch curto (adapte)</t>
        </is>
      </c>
      <c r="B21" s="11" t="n"/>
    </row>
    <row r="22">
      <c r="A22" s="12" t="inlineStr">
        <is>
          <t>Abertura</t>
        </is>
      </c>
      <c r="B22" s="13" t="inlineStr">
        <is>
          <t>"Boa tarde, sou [nome] da [empresa]. Trabalhamos com monitoramento de câmeras 24h para condomínios. Posso falar 2 minutos com o síndico/administrador sobre redução de furtos e de custo de portaria?"</t>
        </is>
      </c>
    </row>
    <row r="23">
      <c r="A23" s="12" t="inlineStr">
        <is>
          <t>Oferta</t>
        </is>
      </c>
      <c r="B23" s="13" t="inlineStr">
        <is>
          <t>Monitoramento remoto das câmeras existentes (sem trocar tudo), alertas de eventos, relatório mensal, visita técnica gratuita para diagnóstico.</t>
        </is>
      </c>
    </row>
    <row r="24">
      <c r="A24" s="12" t="inlineStr">
        <is>
          <t>Cuidado (LGPD)</t>
        </is>
      </c>
      <c r="B24" s="13" t="inlineStr">
        <is>
          <t>Câmeras em áreas comuns exigem sinalização e política de acesso às imagens; já deixe isso pronto na proposta.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2026-10-02T18:38:14Z</dcterms:created>
  <dcterms:modified xsi:type="dcterms:W3CDTF">2026-10-02T18:38:14Z</dcterms:modified>
</cp:coreProperties>
</file>